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7f939000f05532/Documents/"/>
    </mc:Choice>
  </mc:AlternateContent>
  <xr:revisionPtr revIDLastSave="0" documentId="8_{6A44ECEF-4237-4CCA-87ED-B7854A2A9153}" xr6:coauthVersionLast="47" xr6:coauthVersionMax="47" xr10:uidLastSave="{00000000-0000-0000-0000-000000000000}"/>
  <bookViews>
    <workbookView xWindow="-108" yWindow="-108" windowWidth="23256" windowHeight="12456" xr2:uid="{0B175B8B-B52F-4C39-8480-D7EBBC7E36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2" i="1" l="1"/>
  <c r="D81" i="1"/>
  <c r="F81" i="1"/>
  <c r="E81" i="1"/>
  <c r="D80" i="1" a="1"/>
  <c r="D80" i="1" s="1"/>
  <c r="D79" i="1"/>
  <c r="D78" i="1"/>
  <c r="C71" i="1"/>
  <c r="C70" i="1"/>
  <c r="C50" i="1"/>
  <c r="C51" i="1"/>
  <c r="C44" i="1"/>
  <c r="C36" i="1"/>
  <c r="C26" i="1" a="1"/>
  <c r="C26" i="1" s="1"/>
  <c r="C16" i="1"/>
  <c r="C6" i="1" a="1"/>
  <c r="C6" i="1" s="1"/>
  <c r="C5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<sst xmlns="http://schemas.openxmlformats.org/spreadsheetml/2006/main" count="34" uniqueCount="34">
  <si>
    <t>Q1:A bakery tracks the daily sales of muffins (in dozens) over a week: [10, 12, 11, 15, 14, 13, 12]._x000B_ What is the most representative value of their weekly sales, and why?</t>
  </si>
  <si>
    <t>Q2: A teacher records the marks of her students in a short quiz: [12, 15, 14, 16, 18, 20, 19].
What is the mean score, and what does it tell us about the class’s performance?</t>
  </si>
  <si>
    <t>Q3: A store records the shoe sizes sold in one day: [7, 8, 9, 8, 8, 10, 7, 9]._x000B_What is the mode, and why is this information useful for the store manager?</t>
  </si>
  <si>
    <t>Q4:A car dealer notes the prices of used cars: [$8,000, $9,500, $10,200, $11,000, $50,000].
Why is the median a better measure than the mean in this case? Calculate the median</t>
  </si>
  <si>
    <t>Q5: A student times how long it takes to finish a puzzle each day: [25, 30, 27, 35, 40].
What does the range tell us about the variation in the student’s puzzle-solving time?</t>
  </si>
  <si>
    <t>Q6: A farmer records the weekly weight of harvested apples (kg): [100, 105, 98, 110, 120]._x000B_Find the range. How can this help the farmer in planning his packaging?</t>
  </si>
  <si>
    <t>range-</t>
  </si>
  <si>
    <t>Q7: Two delivery companies track delivery delays (in minutes).
Company A: variance = 6
Company B: variance = 15
Which company is more consistent, and why?</t>
  </si>
  <si>
    <t>Company A is more consistent in comparison of company B.</t>
  </si>
  <si>
    <t>a variance of 6 means the company delivery delays for  company A arecloser to the average there performance is predictable</t>
  </si>
  <si>
    <t>(lower variance)</t>
  </si>
  <si>
    <t>a variance of 15 means means the delivery delays are more spread out in comparison of compamy A some might be very short will others might be very long. This lack predictability and makes them less consistent.</t>
  </si>
  <si>
    <t>Q8: A finance student compares the daily price fluctuations of two cryptocurrencies.
Coin A: standard deviation = $30
Coin B: standard deviation = $120
Which coin is riskier to invest in, and why?</t>
  </si>
  <si>
    <t>Higher standard deviation (coin B) with a standard deviation of $120 it experiences higher price swings . It may offers the higher returns but equally have a chance of significant loss in a short period.</t>
  </si>
  <si>
    <t>Lower standard deviation (coinA) with a standard deviation of $30 itexperiences stability. Its price fluctuations are smaller and more predictable making it a safer potential investment incomparison of coin B.</t>
  </si>
  <si>
    <t>Q9:A family records their monthly electricity usage (in kWh): [400, 420, 390, 450, 410].
Find the mean and standard deviation. What do these values together tell you about the family’s energy use 
pattern</t>
  </si>
  <si>
    <t>Q10: A basketball player’s points in 8 games are recorded: [15, 18, 20, 22, 25, 17, 19, 21].
Find the mean, median, mode, range, and standard deviation. What insights can these measures provide 
about the player’s scoring performance?</t>
  </si>
  <si>
    <t>MEAN-</t>
  </si>
  <si>
    <t>MEDIAN-</t>
  </si>
  <si>
    <t>MODE-</t>
  </si>
  <si>
    <t>RANGE-</t>
  </si>
  <si>
    <t>STDE.P-</t>
  </si>
  <si>
    <t>12  is the most representative value because it occurred more than one time in the weekly sales.</t>
  </si>
  <si>
    <t>the performance of class is average.</t>
  </si>
  <si>
    <t>This information will help the store manager to notice the stock maintainence and which size is more significant in demand.</t>
  </si>
  <si>
    <t>median will not affect the output result cause of the outliers, but mean calculate the total average affecting by outlier.</t>
  </si>
  <si>
    <t>the range tells that the students are fairly consistent</t>
  </si>
  <si>
    <t xml:space="preserve">by knowing  the range is 22Kg, the farmer knows that their harvest can fluctuate significantly. </t>
  </si>
  <si>
    <t>the fAmily's energy use pattern is fairly consistent.</t>
  </si>
  <si>
    <t>INSIGHTS:-</t>
  </si>
  <si>
    <t>MEASURES OF CONSISTENCY</t>
  </si>
  <si>
    <t>MEASURES OF TYPICAL PERFORMANCE</t>
  </si>
  <si>
    <t>MEASURES OF SPREAD</t>
  </si>
  <si>
    <t>EXCEL FUNCTION THEORY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</si>
</sst>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836AF-B036-46D9-9A5B-0E160FA45CE5}">
  <dimension ref="A1:L89"/>
  <sheetViews>
    <sheetView tabSelected="1" topLeftCell="A74" workbookViewId="0">
      <selection activeCell="C89" sqref="C89"/>
    </sheetView>
  </sheetViews>
  <sheetFormatPr defaultRowHeight="14.4" x14ac:dyDescent="0.3"/>
  <cols>
    <col min="4" max="4" width="17.44140625" customWidth="1"/>
  </cols>
  <sheetData>
    <row r="1" spans="1:4" x14ac:dyDescent="0.3">
      <c r="A1" t="s">
        <v>0</v>
      </c>
    </row>
    <row r="3" spans="1:4" x14ac:dyDescent="0.3">
      <c r="A3">
        <v>10</v>
      </c>
    </row>
    <row r="4" spans="1:4" x14ac:dyDescent="0.3">
      <c r="A4">
        <v>12</v>
      </c>
    </row>
    <row r="5" spans="1:4" x14ac:dyDescent="0.3">
      <c r="A5">
        <v>11</v>
      </c>
    </row>
    <row r="6" spans="1:4" x14ac:dyDescent="0.3">
      <c r="A6">
        <v>15</v>
      </c>
      <c r="C6" cm="1">
        <f t="array" ref="C6">_xlfn.MODE.MULT(A3:A9)</f>
        <v>12</v>
      </c>
      <c r="D6" t="s">
        <v>22</v>
      </c>
    </row>
    <row r="7" spans="1:4" x14ac:dyDescent="0.3">
      <c r="A7">
        <v>14</v>
      </c>
    </row>
    <row r="8" spans="1:4" x14ac:dyDescent="0.3">
      <c r="A8">
        <v>13</v>
      </c>
    </row>
    <row r="9" spans="1:4" x14ac:dyDescent="0.3">
      <c r="A9">
        <v>12</v>
      </c>
    </row>
    <row r="11" spans="1:4" x14ac:dyDescent="0.3">
      <c r="A11" s="2" t="s">
        <v>1</v>
      </c>
    </row>
    <row r="13" spans="1:4" x14ac:dyDescent="0.3">
      <c r="A13">
        <v>12</v>
      </c>
    </row>
    <row r="14" spans="1:4" x14ac:dyDescent="0.3">
      <c r="A14">
        <v>15</v>
      </c>
    </row>
    <row r="15" spans="1:4" x14ac:dyDescent="0.3">
      <c r="A15">
        <v>14</v>
      </c>
    </row>
    <row r="16" spans="1:4" x14ac:dyDescent="0.3">
      <c r="A16">
        <v>16</v>
      </c>
      <c r="C16">
        <f>AVERAGE(A13:A19)</f>
        <v>16.285714285714285</v>
      </c>
      <c r="D16" t="s">
        <v>23</v>
      </c>
    </row>
    <row r="17" spans="1:4" x14ac:dyDescent="0.3">
      <c r="A17">
        <v>18</v>
      </c>
    </row>
    <row r="18" spans="1:4" x14ac:dyDescent="0.3">
      <c r="A18">
        <v>20</v>
      </c>
    </row>
    <row r="19" spans="1:4" x14ac:dyDescent="0.3">
      <c r="A19">
        <v>19</v>
      </c>
    </row>
    <row r="21" spans="1:4" s="2" customFormat="1" x14ac:dyDescent="0.3">
      <c r="A21" s="2" t="s">
        <v>2</v>
      </c>
    </row>
    <row r="23" spans="1:4" x14ac:dyDescent="0.3">
      <c r="A23">
        <v>7</v>
      </c>
    </row>
    <row r="24" spans="1:4" x14ac:dyDescent="0.3">
      <c r="A24">
        <v>8</v>
      </c>
    </row>
    <row r="25" spans="1:4" x14ac:dyDescent="0.3">
      <c r="A25">
        <v>9</v>
      </c>
    </row>
    <row r="26" spans="1:4" x14ac:dyDescent="0.3">
      <c r="A26">
        <v>8</v>
      </c>
      <c r="C26" cm="1">
        <f t="array" ref="C26">_xlfn.MODE.MULT(A23:A30)</f>
        <v>8</v>
      </c>
      <c r="D26" t="s">
        <v>24</v>
      </c>
    </row>
    <row r="27" spans="1:4" x14ac:dyDescent="0.3">
      <c r="A27">
        <v>8</v>
      </c>
    </row>
    <row r="28" spans="1:4" x14ac:dyDescent="0.3">
      <c r="A28">
        <v>10</v>
      </c>
    </row>
    <row r="29" spans="1:4" x14ac:dyDescent="0.3">
      <c r="A29">
        <v>7</v>
      </c>
    </row>
    <row r="30" spans="1:4" x14ac:dyDescent="0.3">
      <c r="A30">
        <v>9</v>
      </c>
    </row>
    <row r="32" spans="1:4" x14ac:dyDescent="0.3">
      <c r="A32" s="2" t="s">
        <v>3</v>
      </c>
    </row>
    <row r="34" spans="1:4" x14ac:dyDescent="0.3">
      <c r="A34">
        <v>8000</v>
      </c>
    </row>
    <row r="35" spans="1:4" x14ac:dyDescent="0.3">
      <c r="A35">
        <v>9500</v>
      </c>
    </row>
    <row r="36" spans="1:4" x14ac:dyDescent="0.3">
      <c r="A36">
        <v>10200</v>
      </c>
      <c r="C36">
        <f>MEDIAN(A34:A38)</f>
        <v>10200</v>
      </c>
      <c r="D36" t="s">
        <v>25</v>
      </c>
    </row>
    <row r="37" spans="1:4" x14ac:dyDescent="0.3">
      <c r="A37">
        <v>11000</v>
      </c>
    </row>
    <row r="38" spans="1:4" x14ac:dyDescent="0.3">
      <c r="A38">
        <v>50000</v>
      </c>
    </row>
    <row r="40" spans="1:4" x14ac:dyDescent="0.3">
      <c r="A40" s="2" t="s">
        <v>4</v>
      </c>
    </row>
    <row r="42" spans="1:4" x14ac:dyDescent="0.3">
      <c r="A42">
        <v>25</v>
      </c>
    </row>
    <row r="43" spans="1:4" x14ac:dyDescent="0.3">
      <c r="A43">
        <v>30</v>
      </c>
    </row>
    <row r="44" spans="1:4" x14ac:dyDescent="0.3">
      <c r="A44">
        <v>27</v>
      </c>
      <c r="C44">
        <f>_xlfn.VAR.P(A42:A46)</f>
        <v>29.84</v>
      </c>
      <c r="D44" t="s">
        <v>26</v>
      </c>
    </row>
    <row r="45" spans="1:4" x14ac:dyDescent="0.3">
      <c r="A45">
        <v>35</v>
      </c>
    </row>
    <row r="46" spans="1:4" x14ac:dyDescent="0.3">
      <c r="A46">
        <v>40</v>
      </c>
    </row>
    <row r="48" spans="1:4" x14ac:dyDescent="0.3">
      <c r="A48" t="s">
        <v>5</v>
      </c>
    </row>
    <row r="50" spans="1:12" x14ac:dyDescent="0.3">
      <c r="A50">
        <v>100</v>
      </c>
      <c r="C50">
        <f>MAX(A50:A54)</f>
        <v>120</v>
      </c>
    </row>
    <row r="51" spans="1:12" x14ac:dyDescent="0.3">
      <c r="A51">
        <v>105</v>
      </c>
      <c r="C51">
        <f>MIN(A50:A54)</f>
        <v>98</v>
      </c>
    </row>
    <row r="52" spans="1:12" x14ac:dyDescent="0.3">
      <c r="A52">
        <v>98</v>
      </c>
      <c r="B52" t="s">
        <v>6</v>
      </c>
      <c r="C52">
        <f>C50-C51</f>
        <v>22</v>
      </c>
      <c r="D52" t="s">
        <v>27</v>
      </c>
    </row>
    <row r="53" spans="1:12" x14ac:dyDescent="0.3">
      <c r="A53">
        <v>110</v>
      </c>
    </row>
    <row r="54" spans="1:12" x14ac:dyDescent="0.3">
      <c r="A54">
        <v>120</v>
      </c>
    </row>
    <row r="56" spans="1:12" x14ac:dyDescent="0.3">
      <c r="A56" s="2" t="s">
        <v>7</v>
      </c>
    </row>
    <row r="57" spans="1:12" x14ac:dyDescent="0.3">
      <c r="A57" s="1"/>
    </row>
    <row r="58" spans="1:12" x14ac:dyDescent="0.3">
      <c r="A58" s="2" t="s">
        <v>8</v>
      </c>
    </row>
    <row r="59" spans="1:12" x14ac:dyDescent="0.3">
      <c r="A59" s="2" t="s">
        <v>9</v>
      </c>
      <c r="L59" t="s">
        <v>10</v>
      </c>
    </row>
    <row r="60" spans="1:12" x14ac:dyDescent="0.3">
      <c r="A60" s="2" t="s">
        <v>11</v>
      </c>
    </row>
    <row r="61" spans="1:12" x14ac:dyDescent="0.3">
      <c r="A61" s="1"/>
    </row>
    <row r="62" spans="1:12" x14ac:dyDescent="0.3">
      <c r="A62" s="2" t="s">
        <v>12</v>
      </c>
    </row>
    <row r="63" spans="1:12" x14ac:dyDescent="0.3">
      <c r="A63" s="2"/>
    </row>
    <row r="64" spans="1:12" x14ac:dyDescent="0.3">
      <c r="A64" s="2" t="s">
        <v>13</v>
      </c>
    </row>
    <row r="65" spans="1:4" x14ac:dyDescent="0.3">
      <c r="A65" s="2" t="s">
        <v>14</v>
      </c>
    </row>
    <row r="66" spans="1:4" x14ac:dyDescent="0.3">
      <c r="A66" s="2"/>
    </row>
    <row r="67" spans="1:4" x14ac:dyDescent="0.3">
      <c r="A67" s="2" t="s">
        <v>15</v>
      </c>
    </row>
    <row r="68" spans="1:4" x14ac:dyDescent="0.3">
      <c r="A68" s="2"/>
    </row>
    <row r="69" spans="1:4" x14ac:dyDescent="0.3">
      <c r="A69" s="2">
        <v>400</v>
      </c>
    </row>
    <row r="70" spans="1:4" x14ac:dyDescent="0.3">
      <c r="A70" s="2">
        <v>420</v>
      </c>
      <c r="C70">
        <f>AVERAGE(A69:A73)</f>
        <v>414</v>
      </c>
    </row>
    <row r="71" spans="1:4" x14ac:dyDescent="0.3">
      <c r="A71" s="2">
        <v>390</v>
      </c>
      <c r="C71">
        <f>_xlfn.STDEV.P(A69:A73)</f>
        <v>20.591260281974002</v>
      </c>
      <c r="D71" t="s">
        <v>28</v>
      </c>
    </row>
    <row r="72" spans="1:4" x14ac:dyDescent="0.3">
      <c r="A72" s="2">
        <v>450</v>
      </c>
    </row>
    <row r="73" spans="1:4" x14ac:dyDescent="0.3">
      <c r="A73" s="2">
        <v>410</v>
      </c>
    </row>
    <row r="75" spans="1:4" x14ac:dyDescent="0.3">
      <c r="A75" s="2" t="s">
        <v>16</v>
      </c>
    </row>
    <row r="76" spans="1:4" x14ac:dyDescent="0.3">
      <c r="A76" s="2"/>
    </row>
    <row r="77" spans="1:4" x14ac:dyDescent="0.3">
      <c r="A77" s="2">
        <v>15</v>
      </c>
    </row>
    <row r="78" spans="1:4" x14ac:dyDescent="0.3">
      <c r="A78" s="2">
        <v>18</v>
      </c>
      <c r="C78" t="s">
        <v>17</v>
      </c>
      <c r="D78">
        <f>AVERAGE(A77:A84)</f>
        <v>19.625</v>
      </c>
    </row>
    <row r="79" spans="1:4" x14ac:dyDescent="0.3">
      <c r="A79">
        <v>20</v>
      </c>
      <c r="C79" t="s">
        <v>18</v>
      </c>
      <c r="D79">
        <f>MEDIAN(A77:A84)</f>
        <v>19.5</v>
      </c>
    </row>
    <row r="80" spans="1:4" x14ac:dyDescent="0.3">
      <c r="A80">
        <v>22</v>
      </c>
      <c r="C80" t="s">
        <v>19</v>
      </c>
      <c r="D80" t="str" cm="1">
        <f t="array" ref="D80">IFERROR(_xlfn.MODE.MULT(A77:A84),"NO DUPLICATES")</f>
        <v>NO DUPLICATES</v>
      </c>
    </row>
    <row r="81" spans="1:6" x14ac:dyDescent="0.3">
      <c r="A81">
        <v>25</v>
      </c>
      <c r="C81" t="s">
        <v>20</v>
      </c>
      <c r="D81">
        <f>E81-F81</f>
        <v>10</v>
      </c>
      <c r="E81">
        <f>MAX(A77:A84)</f>
        <v>25</v>
      </c>
      <c r="F81">
        <f>MIN(A77:A84)</f>
        <v>15</v>
      </c>
    </row>
    <row r="82" spans="1:6" x14ac:dyDescent="0.3">
      <c r="A82">
        <v>17</v>
      </c>
      <c r="C82" t="s">
        <v>21</v>
      </c>
      <c r="D82">
        <f>_xlfn.STDEV.P(A77:A84)</f>
        <v>2.912795049432761</v>
      </c>
    </row>
    <row r="83" spans="1:6" x14ac:dyDescent="0.3">
      <c r="A83">
        <v>19</v>
      </c>
    </row>
    <row r="84" spans="1:6" x14ac:dyDescent="0.3">
      <c r="A84">
        <v>21</v>
      </c>
    </row>
    <row r="85" spans="1:6" x14ac:dyDescent="0.3">
      <c r="C85" t="s">
        <v>29</v>
      </c>
    </row>
    <row r="86" spans="1:6" x14ac:dyDescent="0.3">
      <c r="C86" t="s">
        <v>30</v>
      </c>
    </row>
    <row r="87" spans="1:6" x14ac:dyDescent="0.3">
      <c r="C87" t="s">
        <v>31</v>
      </c>
    </row>
    <row r="88" spans="1:6" x14ac:dyDescent="0.3">
      <c r="C88" t="s">
        <v>32</v>
      </c>
    </row>
    <row r="89" spans="1:6" x14ac:dyDescent="0.3">
      <c r="C8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Shreeya ojha</dc:creator>
  <cp:lastModifiedBy>Shreeya ojha</cp:lastModifiedBy>
  <dcterms:created xsi:type="dcterms:W3CDTF">2025-12-30T06:39:23Z</dcterms:created>
  <dcterms:modified xsi:type="dcterms:W3CDTF">2025-12-30T08:34:52Z</dcterms:modified>
</cp:coreProperties>
</file>